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0490" windowHeight="8835" firstSheet="1" activeTab="3"/>
  </bookViews>
  <sheets>
    <sheet name="__FDSCACHE__" sheetId="196" state="veryHidden" r:id="rId1"/>
    <sheet name="Dashboard" sheetId="1" r:id="rId2"/>
    <sheet name="Template" sheetId="26" r:id="rId3"/>
    <sheet name="Profile Overview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26" l="1"/>
  <c r="B55" i="26"/>
  <c r="B56" i="26"/>
  <c r="B53" i="26"/>
  <c r="B51" i="26"/>
  <c r="B48" i="26"/>
  <c r="B49" i="26"/>
  <c r="B42" i="26"/>
  <c r="B43" i="26"/>
  <c r="B44" i="26"/>
  <c r="B40" i="26"/>
  <c r="B34" i="26"/>
  <c r="B35" i="26"/>
  <c r="B36" i="26"/>
  <c r="B37" i="26"/>
  <c r="B38" i="26"/>
  <c r="A3" i="26"/>
  <c r="A6" i="26"/>
  <c r="A9" i="26"/>
  <c r="A33" i="26" l="1"/>
  <c r="B33" i="26" s="1"/>
  <c r="B11" i="26" l="1"/>
  <c r="B29" i="26" l="1"/>
  <c r="B28" i="26"/>
  <c r="B27" i="26"/>
  <c r="B14" i="26"/>
  <c r="B20" i="26"/>
  <c r="B19" i="26"/>
  <c r="B18" i="26"/>
  <c r="B17" i="26"/>
  <c r="B13" i="26"/>
  <c r="B16" i="26"/>
  <c r="B15" i="26"/>
</calcChain>
</file>

<file path=xl/comments1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Version="1"&gt;&lt;FQL&gt;&lt;Q&gt;MSTR^FG_COMPANY_NAME&lt;/Q&gt;&lt;R&gt;1&lt;/R&gt;&lt;C&gt;1&lt;/C&gt;&lt;D xsi:type="xsd:string"&gt;MicroStrategy Incorporated Class A&lt;/D&gt;&lt;/FQL&gt;&lt;FQL&gt;&lt;Q&gt;MSTR^FF_FISCAL_DATE(ANN_R,NOW,NOW,,,"DATE")&lt;/Q&gt;&lt;R&gt;1&lt;/R&gt;&lt;C&gt;1&lt;/C&gt;&lt;D xsi:type="xsd:string"&gt;12/31/2017&lt;/D&gt;&lt;/FQL&gt;&lt;FQL&gt;&lt;Q&gt;MSTR^FG_PRICE(NOW,NOW,,USD)&lt;/Q&gt;&lt;R&gt;1&lt;/R&gt;&lt;C&gt;1&lt;/C&gt;&lt;D xsi:type="xsd:double"&gt;126.69&lt;/D&gt;&lt;/FQL&gt;&lt;FQL&gt;&lt;Q&gt;MSTR^FF_SHLDRS_EQ(ANN_R,43100,,,,USD)&lt;/Q&gt;&lt;R&gt;1&lt;/R&gt;&lt;C&gt;1&lt;/C&gt;&lt;D xsi:type="xsd:double"&gt;590.539&lt;/D&gt;&lt;/FQL&gt;&lt;FQL&gt;&lt;Q&gt;MSTR^FF_LIABS_CURR(ANN_R,43100,,,,USD)&lt;/Q&gt;&lt;R&gt;1&lt;/R&gt;&lt;C&gt;1&lt;/C&gt;&lt;D xsi:type="xsd:double"&gt;184.858&lt;/D&gt;&lt;/FQL&gt;&lt;FQL&gt;&lt;Q&gt;MSTR^FF_LIABS(ANN_R,43100,,,,USD)&lt;/Q&gt;&lt;R&gt;1&lt;/R&gt;&lt;C&gt;1&lt;/C&gt;&lt;D xsi:type="xsd:double"&gt;245.189&lt;/D&gt;&lt;/FQL&gt;&lt;FQL&gt;&lt;Q&gt;MSTR^FF_ASSETS(ANN_R,43100,,,,USD)&lt;/Q&gt;&lt;R&gt;1&lt;/R&gt;&lt;C&gt;1&lt;/C&gt;&lt;D xsi:type="xsd:double"&gt;835.728&lt;/D&gt;&lt;/FQL&gt;&lt;FQL&gt;&lt;Q&gt;MSTR^FF_ASSETS_CURR(ANN_R,43100,,,,USD)&lt;/Q&gt;&lt;R&gt;1&lt;/R&gt;&lt;C&gt;1&lt;/C&gt;&lt;D xsi:type="xsd:double"&gt;763.611&lt;/D&gt;&lt;/FQL&gt;&lt;FQL&gt;&lt;Q&gt;MSTR^FF_CASH_ONLY(ANN_R,43100,,,,USD)&lt;/Q&gt;&lt;R&gt;1&lt;/R&gt;&lt;C&gt;1&lt;/C&gt;&lt;D xsi:type="xsd:double"&gt;421.182&lt;/D&gt;&lt;/FQL&gt;&lt;FQL&gt;&lt;Q&gt;MSTR^FF_INVEN(ANN_R,43100,,,,USD)&lt;/Q&gt;&lt;R&gt;1&lt;/R&gt;&lt;C&gt;1&lt;/C&gt;&lt;D xsi:type="xsd:double"&gt;0&lt;/D&gt;&lt;/FQL&gt;&lt;FQL&gt;&lt;Q&gt;MSTR^FF_EPS(ANN_R,43100,,,,USD)&lt;/Q&gt;&lt;R&gt;1&lt;/R&gt;&lt;C&gt;1&lt;/C&gt;&lt;D xsi:type="xsd:double"&gt;1.53&lt;/D&gt;&lt;/FQL&gt;&lt;FQL&gt;&lt;Q&gt;MSTR^FG_PRICE(43100,,,USD)&lt;/Q&gt;&lt;R&gt;1&lt;/R&gt;&lt;C&gt;1&lt;/C&gt;&lt;D xsi:type="xsd:double"&gt;131.3&lt;/D&gt;&lt;/FQL&gt;&lt;FQL&gt;&lt;Q&gt;MSTR^FF_PE(ANN_R,43100,)&lt;/Q&gt;&lt;R&gt;1&lt;/R&gt;&lt;C&gt;1&lt;/C&gt;&lt;D xsi:type="xsd:double"&gt;85.816993464052288&lt;/D&gt;&lt;/FQL&gt;&lt;FQL&gt;&lt;Q&gt;MSTR^FF_NET_INC(ANN_R,43100,,,,USD)&lt;/Q&gt;&lt;R&gt;1&lt;/R&gt;&lt;C&gt;1&lt;/C&gt;&lt;D xsi:type="xsd:double"&gt;17.643&lt;/D&gt;&lt;/FQL&gt;&lt;FQL&gt;&lt;Q&gt;MSTR^FF_SALES(ANN_R,43100,,,,USD)&lt;/Q&gt;&lt;R&gt;1&lt;/R&gt;&lt;C&gt;1&lt;/C&gt;&lt;D xsi:type="xsd:double"&gt;504.543&lt;/D&gt;&lt;/FQL&gt;&lt;FQL&gt;&lt;Q&gt;MSTR^FF_COGS_XDEP(ANN_R,43100,,,,USD)&lt;/Q&gt;&lt;R&gt;1&lt;/R&gt;&lt;C&gt;1&lt;/C&gt;&lt;D xsi:type="xsd:double"&gt;82.251&lt;/D&gt;&lt;/FQL&gt;&lt;FQL&gt;&lt;Q&gt;MSTR^FF_GROSS_INC(ANN_R,43100,,,,USD)&lt;/Q&gt;&lt;R&gt;1&lt;/R&gt;&lt;C&gt;1&lt;/C&gt;&lt;D xsi:type="xsd:double"&gt;407.894&lt;/D&gt;&lt;/FQL&gt;&lt;FQL&gt;&lt;Q&gt;MSTR^FF_SGA(ANN_R,43100,,,,USD)&lt;/Q&gt;&lt;R&gt;1&lt;/R&gt;&lt;C&gt;1&lt;/C&gt;&lt;D xsi:type="xsd:double"&gt;333.539&lt;/D&gt;&lt;/FQL&gt;&lt;FQL&gt;&lt;Q&gt;MSTR^FF_OPER_INC(ANN_R,43100,,,,USD)&lt;/Q&gt;&lt;R&gt;1&lt;/R&gt;&lt;C&gt;1&lt;/C&gt;&lt;D xsi:type="xsd:double"&gt;74.355&lt;/D&gt;&lt;/FQL&gt;&lt;/Schema&gt;</t>
        </r>
      </text>
    </comment>
  </commentList>
</comments>
</file>

<file path=xl/sharedStrings.xml><?xml version="1.0" encoding="utf-8"?>
<sst xmlns="http://schemas.openxmlformats.org/spreadsheetml/2006/main" count="59" uniqueCount="56">
  <si>
    <t xml:space="preserve">Selected Profile: </t>
  </si>
  <si>
    <t>nigeria-cpg</t>
  </si>
  <si>
    <t>cadbury-ng</t>
  </si>
  <si>
    <t>champion-ng</t>
  </si>
  <si>
    <t>dangflour-ng</t>
  </si>
  <si>
    <t>dangsugar-ng</t>
  </si>
  <si>
    <t>dunlop-ng</t>
  </si>
  <si>
    <t>enamelwa-ng</t>
  </si>
  <si>
    <t>flourmill-ng</t>
  </si>
  <si>
    <t>goldbrew-ng</t>
  </si>
  <si>
    <t>guinness-ng</t>
  </si>
  <si>
    <t>honyflour-ng</t>
  </si>
  <si>
    <t>intbrew-ng</t>
  </si>
  <si>
    <t>mcnichols-ng</t>
  </si>
  <si>
    <t>multitrex-ng</t>
  </si>
  <si>
    <t>nascon-ng</t>
  </si>
  <si>
    <t>nb-ng</t>
  </si>
  <si>
    <t>nestle-ng</t>
  </si>
  <si>
    <t>nnfm-ng</t>
  </si>
  <si>
    <t>pz-ng</t>
  </si>
  <si>
    <t>unilever-ng</t>
  </si>
  <si>
    <t>uniondicon-ng</t>
  </si>
  <si>
    <t>vitafoam-ng</t>
  </si>
  <si>
    <t>Selected Financial Data</t>
  </si>
  <si>
    <t>Income Statement</t>
  </si>
  <si>
    <t>Net Sales</t>
  </si>
  <si>
    <t>COGS</t>
  </si>
  <si>
    <t>Gross Profit</t>
  </si>
  <si>
    <t>SGA</t>
  </si>
  <si>
    <t>Operating Income</t>
  </si>
  <si>
    <t>Balance Sheet</t>
  </si>
  <si>
    <t>Cash</t>
  </si>
  <si>
    <t>Inventory</t>
  </si>
  <si>
    <t>Total Assets</t>
  </si>
  <si>
    <t>Current Assets</t>
  </si>
  <si>
    <t>Current Liabilities</t>
  </si>
  <si>
    <t>Total Liabilities</t>
  </si>
  <si>
    <t>Total Equity</t>
  </si>
  <si>
    <t>Earnings Per Share</t>
  </si>
  <si>
    <t>Price</t>
  </si>
  <si>
    <t>P/E</t>
  </si>
  <si>
    <t>Net Income</t>
  </si>
  <si>
    <t>Number of Periods</t>
  </si>
  <si>
    <t>Selected Metrics</t>
  </si>
  <si>
    <t>Current Price</t>
  </si>
  <si>
    <t>Current Ratio</t>
  </si>
  <si>
    <t>Latest Year</t>
  </si>
  <si>
    <t>Debt to Equity</t>
  </si>
  <si>
    <t>Assets</t>
  </si>
  <si>
    <t>Sales</t>
  </si>
  <si>
    <t>Liabilities</t>
  </si>
  <si>
    <t>Equity</t>
  </si>
  <si>
    <t>Debt Ratio</t>
  </si>
  <si>
    <t>Sales Turnover (COGS)</t>
  </si>
  <si>
    <t>MSTR</t>
  </si>
  <si>
    <t>This sheet contains FactSet XML data for use with this workbook's =FDS codes.  Modifying the worksheet's contents may damage the workbook's =FDS functionality.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</si>
</sst>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1" formatCode="&quot;Period Ending&quot;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NumberFormat="1" applyFill="1"/>
    <xf numFmtId="14" fontId="0" fillId="0" borderId="0" xfId="0" applyNumberFormat="1"/>
    <xf numFmtId="0" fontId="3" fillId="0" borderId="0" xfId="0" applyNumberFormat="1" applyFont="1" applyFill="1" applyBorder="1" applyAlignment="1"/>
    <xf numFmtId="14" fontId="0" fillId="0" borderId="0" xfId="0" applyNumberFormat="1" applyFill="1"/>
    <xf numFmtId="14" fontId="0" fillId="0" borderId="0" xfId="0" applyNumberFormat="1" applyFont="1" applyFill="1"/>
    <xf numFmtId="2" fontId="0" fillId="0" borderId="0" xfId="0" applyNumberFormat="1" applyFill="1"/>
    <xf numFmtId="2" fontId="3" fillId="0" borderId="0" xfId="0" applyNumberFormat="1" applyFont="1" applyFill="1" applyBorder="1" applyAlignment="1"/>
    <xf numFmtId="0" fontId="5" fillId="0" borderId="0" xfId="0" applyFont="1"/>
    <xf numFmtId="0" fontId="5" fillId="0" borderId="0" xfId="0" applyNumberFormat="1" applyFont="1" applyFill="1"/>
    <xf numFmtId="171" fontId="0" fillId="0" borderId="0" xfId="0" applyNumberFormat="1" applyFill="1" applyAlignment="1">
      <alignment horizontal="left"/>
    </xf>
    <xf numFmtId="0" fontId="6" fillId="0" borderId="0" xfId="0" applyFont="1"/>
    <xf numFmtId="10" fontId="0" fillId="0" borderId="0" xfId="1" applyNumberFormat="1" applyFont="1"/>
    <xf numFmtId="2" fontId="0" fillId="0" borderId="0" xfId="0" applyNumberFormat="1"/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9525</xdr:rowOff>
        </xdr:from>
        <xdr:to>
          <xdr:col>3</xdr:col>
          <xdr:colOff>600075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4</xdr:col>
          <xdr:colOff>0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4</xdr:col>
          <xdr:colOff>0</xdr:colOff>
          <xdr:row>7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5" x14ac:dyDescent="0.25"/>
  <sheetData>
    <row r="1" spans="1:2" x14ac:dyDescent="0.25">
      <c r="B1" t="s">
        <v>55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"/>
  <sheetViews>
    <sheetView workbookViewId="0">
      <selection activeCell="C4" sqref="C4"/>
    </sheetView>
  </sheetViews>
  <sheetFormatPr defaultRowHeight="15" x14ac:dyDescent="0.25"/>
  <cols>
    <col min="2" max="2" width="18.42578125" customWidth="1"/>
    <col min="3" max="3" width="9.140625" customWidth="1"/>
  </cols>
  <sheetData>
    <row r="4" spans="2:2" x14ac:dyDescent="0.25">
      <c r="B4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G67"/>
  <sheetViews>
    <sheetView topLeftCell="A4" workbookViewId="0">
      <selection activeCell="A2" sqref="A2"/>
    </sheetView>
  </sheetViews>
  <sheetFormatPr defaultRowHeight="15" x14ac:dyDescent="0.25"/>
  <cols>
    <col min="1" max="1" width="23.140625" customWidth="1"/>
    <col min="2" max="3" width="10.7109375" customWidth="1"/>
    <col min="4" max="5" width="10.7109375" bestFit="1" customWidth="1"/>
    <col min="7" max="7" width="10.7109375" bestFit="1" customWidth="1"/>
  </cols>
  <sheetData>
    <row r="1" spans="1:5" x14ac:dyDescent="0.25">
      <c r="A1" t="s">
        <v>54</v>
      </c>
    </row>
    <row r="3" spans="1:5" x14ac:dyDescent="0.25">
      <c r="A3" s="3" t="str">
        <f>_xll.FDS($A$1,"FG_COMPANY_NAME")</f>
        <v>MicroStrategy Incorporated Class A</v>
      </c>
    </row>
    <row r="4" spans="1:5" x14ac:dyDescent="0.25">
      <c r="A4" s="3"/>
    </row>
    <row r="5" spans="1:5" x14ac:dyDescent="0.25">
      <c r="A5" s="11" t="s">
        <v>46</v>
      </c>
    </row>
    <row r="6" spans="1:5" x14ac:dyDescent="0.25">
      <c r="A6" s="3" t="str">
        <f>_xll.FDS($A$1,"FF_FISCAL_DATE(ANN_R,NOW,NOW,,,""DATE"")")</f>
        <v>12/31/2017</v>
      </c>
    </row>
    <row r="8" spans="1:5" x14ac:dyDescent="0.25">
      <c r="A8" s="3" t="s">
        <v>44</v>
      </c>
    </row>
    <row r="9" spans="1:5" x14ac:dyDescent="0.25">
      <c r="A9" s="8">
        <f>_xll.FDS($A$1,"FG_PRICE(NOW,NOW,,USD)")</f>
        <v>126.69</v>
      </c>
    </row>
    <row r="10" spans="1:5" x14ac:dyDescent="0.25">
      <c r="A10" s="8"/>
    </row>
    <row r="11" spans="1:5" x14ac:dyDescent="0.25">
      <c r="A11" s="13" t="s">
        <v>43</v>
      </c>
      <c r="B11" s="4">
        <f>B33</f>
        <v>43100</v>
      </c>
      <c r="C11" s="4"/>
      <c r="D11" s="4"/>
      <c r="E11" s="4"/>
    </row>
    <row r="12" spans="1:5" x14ac:dyDescent="0.25">
      <c r="A12" s="10"/>
    </row>
    <row r="13" spans="1:5" x14ac:dyDescent="0.25">
      <c r="A13" s="2" t="s">
        <v>39</v>
      </c>
      <c r="B13" s="14" t="str">
        <f>IFERROR((B43-C43)/C43,"")</f>
        <v/>
      </c>
    </row>
    <row r="14" spans="1:5" x14ac:dyDescent="0.25">
      <c r="A14" s="2" t="s">
        <v>53</v>
      </c>
      <c r="B14" s="15" t="str">
        <f>IFERROR(B35/AVERAGE(B49:C49),"")</f>
        <v/>
      </c>
    </row>
    <row r="15" spans="1:5" x14ac:dyDescent="0.25">
      <c r="A15" s="2" t="s">
        <v>49</v>
      </c>
      <c r="B15" s="14" t="str">
        <f>IFERROR((B34-C34)/C34,"")</f>
        <v/>
      </c>
      <c r="C15" s="14"/>
    </row>
    <row r="16" spans="1:5" x14ac:dyDescent="0.25">
      <c r="A16" s="2" t="s">
        <v>29</v>
      </c>
      <c r="B16" s="14" t="str">
        <f>IFERROR((B38-C38)/C38,"")</f>
        <v/>
      </c>
      <c r="C16" s="14"/>
    </row>
    <row r="17" spans="1:5" x14ac:dyDescent="0.25">
      <c r="A17" s="2" t="s">
        <v>41</v>
      </c>
      <c r="B17" s="14" t="str">
        <f>IFERROR((B40-C40)/C40,"")</f>
        <v/>
      </c>
      <c r="C17" s="14"/>
    </row>
    <row r="18" spans="1:5" x14ac:dyDescent="0.25">
      <c r="A18" s="2" t="s">
        <v>48</v>
      </c>
      <c r="B18" s="14" t="str">
        <f>IFERROR((B53-C53)/C53,"")</f>
        <v/>
      </c>
      <c r="C18" s="14"/>
    </row>
    <row r="19" spans="1:5" x14ac:dyDescent="0.25">
      <c r="A19" s="2" t="s">
        <v>50</v>
      </c>
      <c r="B19" s="14" t="str">
        <f>IFERROR((B56-C56)/C56,"")</f>
        <v/>
      </c>
      <c r="C19" s="14"/>
    </row>
    <row r="20" spans="1:5" x14ac:dyDescent="0.25">
      <c r="A20" s="2" t="s">
        <v>51</v>
      </c>
      <c r="B20" s="14" t="str">
        <f>IFERROR((B58-C58)/C58,"")</f>
        <v/>
      </c>
      <c r="C20" s="14"/>
    </row>
    <row r="21" spans="1:5" x14ac:dyDescent="0.25">
      <c r="A21" s="10"/>
    </row>
    <row r="22" spans="1:5" x14ac:dyDescent="0.25">
      <c r="C22" s="14"/>
      <c r="D22" s="14"/>
      <c r="E22" s="14"/>
    </row>
    <row r="23" spans="1:5" x14ac:dyDescent="0.25">
      <c r="A23" s="10"/>
    </row>
    <row r="25" spans="1:5" x14ac:dyDescent="0.25">
      <c r="C25" s="15"/>
    </row>
    <row r="27" spans="1:5" x14ac:dyDescent="0.25">
      <c r="A27" t="s">
        <v>45</v>
      </c>
      <c r="B27" s="15">
        <f>IFERROR(B51/B55,"")</f>
        <v>4.1307976933646362</v>
      </c>
      <c r="C27" s="15"/>
    </row>
    <row r="28" spans="1:5" x14ac:dyDescent="0.25">
      <c r="A28" t="s">
        <v>52</v>
      </c>
      <c r="B28" s="14">
        <f>IFERROR(B56/B53,"")</f>
        <v>0.29338373250626998</v>
      </c>
      <c r="C28" s="14"/>
    </row>
    <row r="29" spans="1:5" x14ac:dyDescent="0.25">
      <c r="A29" t="s">
        <v>47</v>
      </c>
      <c r="B29" s="15">
        <f>IFERROR(B56/B58,"")</f>
        <v>0.41519527076111823</v>
      </c>
      <c r="C29" s="15"/>
    </row>
    <row r="31" spans="1:5" x14ac:dyDescent="0.25">
      <c r="A31" s="10" t="s">
        <v>23</v>
      </c>
    </row>
    <row r="32" spans="1:5" x14ac:dyDescent="0.25">
      <c r="A32" s="1" t="s">
        <v>24</v>
      </c>
    </row>
    <row r="33" spans="1:7" x14ac:dyDescent="0.25">
      <c r="A33" s="12">
        <f>DATE(YEAR(A6)+1,12,31)</f>
        <v>43465</v>
      </c>
      <c r="B33" s="7">
        <f>DATE(YEAR(A33)-1,12,31)</f>
        <v>43100</v>
      </c>
      <c r="C33" s="7"/>
      <c r="D33" s="7"/>
      <c r="E33" s="7"/>
      <c r="F33" s="6"/>
      <c r="G33" s="4"/>
    </row>
    <row r="34" spans="1:7" x14ac:dyDescent="0.25">
      <c r="A34" s="2" t="s">
        <v>25</v>
      </c>
      <c r="B34" s="8">
        <f>_xll.FDS($A$1,"FF_SALES(ANN_R,"&amp;B$33&amp;","&amp;C$33&amp;",,,USD)")</f>
        <v>504.54300000000001</v>
      </c>
      <c r="C34" s="8"/>
      <c r="D34" s="8"/>
      <c r="E34" s="8"/>
    </row>
    <row r="35" spans="1:7" x14ac:dyDescent="0.25">
      <c r="A35" s="2" t="s">
        <v>26</v>
      </c>
      <c r="B35" s="8">
        <f>_xll.FDS($A$1,"FF_COGS_XDEP(ANN_R,"&amp;B$33&amp;","&amp;C$33&amp;",,,USD)")</f>
        <v>82.251000000000005</v>
      </c>
      <c r="C35" s="8"/>
      <c r="D35" s="8"/>
      <c r="E35" s="8"/>
    </row>
    <row r="36" spans="1:7" x14ac:dyDescent="0.25">
      <c r="A36" t="s">
        <v>27</v>
      </c>
      <c r="B36" s="8">
        <f>_xll.FDS($A$1,"FF_GROSS_INC(ANN_R,"&amp;B$33&amp;","&amp;C$33&amp;",,,USD)")</f>
        <v>407.89400000000001</v>
      </c>
      <c r="C36" s="8"/>
      <c r="D36" s="8"/>
      <c r="E36" s="8"/>
    </row>
    <row r="37" spans="1:7" x14ac:dyDescent="0.25">
      <c r="A37" t="s">
        <v>28</v>
      </c>
      <c r="B37" s="8">
        <f>_xll.FDS($A$1,"FF_SGA(ANN_R,"&amp;B$33&amp;","&amp;C$33&amp;",,,USD)")</f>
        <v>333.53899999999999</v>
      </c>
      <c r="C37" s="8"/>
      <c r="D37" s="8"/>
      <c r="E37" s="8"/>
    </row>
    <row r="38" spans="1:7" x14ac:dyDescent="0.25">
      <c r="A38" s="2" t="s">
        <v>29</v>
      </c>
      <c r="B38" s="8">
        <f>_xll.FDS($A$1,"FF_OPER_INC(ANN_R,"&amp;B$33&amp;","&amp;C$33&amp;",,,USD)")</f>
        <v>74.355000000000004</v>
      </c>
      <c r="C38" s="8"/>
      <c r="D38" s="8"/>
      <c r="E38" s="8"/>
    </row>
    <row r="39" spans="1:7" x14ac:dyDescent="0.25">
      <c r="B39" s="8"/>
      <c r="C39" s="8"/>
      <c r="D39" s="8"/>
      <c r="E39" s="8"/>
    </row>
    <row r="40" spans="1:7" x14ac:dyDescent="0.25">
      <c r="A40" t="s">
        <v>41</v>
      </c>
      <c r="B40" s="8">
        <f>_xll.FDS($A$1,"FF_NET_INC(ANN_R,"&amp;B$33&amp;","&amp;C$33&amp;",,,USD)")</f>
        <v>17.643000000000001</v>
      </c>
      <c r="C40" s="8"/>
      <c r="D40" s="8"/>
      <c r="E40" s="8"/>
    </row>
    <row r="41" spans="1:7" x14ac:dyDescent="0.25">
      <c r="A41" s="1"/>
      <c r="B41" s="3"/>
      <c r="C41" s="3"/>
      <c r="D41" s="3"/>
      <c r="E41" s="3"/>
    </row>
    <row r="42" spans="1:7" x14ac:dyDescent="0.25">
      <c r="A42" t="s">
        <v>38</v>
      </c>
      <c r="B42" s="8">
        <f>_xll.FDS($A$1,"FF_EPS(ANN_R,"&amp;B$33&amp;","&amp;C$33&amp;",,,USD)")</f>
        <v>1.53</v>
      </c>
      <c r="C42" s="8"/>
      <c r="D42" s="8"/>
      <c r="E42" s="8"/>
    </row>
    <row r="43" spans="1:7" ht="15" customHeight="1" x14ac:dyDescent="0.25">
      <c r="A43" t="s">
        <v>39</v>
      </c>
      <c r="B43" s="9">
        <f>_xll.FDS($A$1,"FG_PRICE("&amp;B$33&amp;","&amp;C$33&amp;",,USD)")</f>
        <v>131.30000000000001</v>
      </c>
      <c r="C43" s="9"/>
      <c r="D43" s="9"/>
      <c r="E43" s="9"/>
    </row>
    <row r="44" spans="1:7" ht="15" customHeight="1" x14ac:dyDescent="0.25">
      <c r="A44" t="s">
        <v>40</v>
      </c>
      <c r="B44" s="9">
        <f>_xll.FDS($A$1,"FF_PE(ANN_R,"&amp;B$33&amp;","&amp;C$33&amp;")")</f>
        <v>85.816993464052288</v>
      </c>
      <c r="C44" s="9"/>
      <c r="D44" s="9"/>
      <c r="E44" s="9"/>
    </row>
    <row r="45" spans="1:7" ht="15" customHeight="1" x14ac:dyDescent="0.25">
      <c r="B45" s="5"/>
      <c r="C45" s="5"/>
      <c r="D45" s="5"/>
      <c r="E45" s="5"/>
    </row>
    <row r="46" spans="1:7" ht="15" customHeight="1" x14ac:dyDescent="0.25">
      <c r="A46" s="1" t="s">
        <v>30</v>
      </c>
      <c r="B46" s="5"/>
      <c r="C46" s="5"/>
      <c r="D46" s="5"/>
      <c r="E46" s="5"/>
    </row>
    <row r="47" spans="1:7" ht="15" customHeight="1" x14ac:dyDescent="0.25">
      <c r="B47" s="5"/>
      <c r="C47" s="5"/>
      <c r="D47" s="5"/>
      <c r="E47" s="5"/>
    </row>
    <row r="48" spans="1:7" ht="15" customHeight="1" x14ac:dyDescent="0.25">
      <c r="A48" t="s">
        <v>31</v>
      </c>
      <c r="B48" s="9">
        <f>_xll.FDS($A$1,"FF_CASH_ONLY(ANN_R,"&amp;B$33&amp;","&amp;C$33&amp;",,,USD)")</f>
        <v>421.18200000000002</v>
      </c>
      <c r="C48" s="9"/>
      <c r="D48" s="9"/>
      <c r="E48" s="9"/>
    </row>
    <row r="49" spans="1:5" ht="15" customHeight="1" x14ac:dyDescent="0.25">
      <c r="A49" t="s">
        <v>32</v>
      </c>
      <c r="B49" s="9">
        <f>_xll.FDS($A$1,"FF_INVEN(ANN_R,"&amp;B$33&amp;","&amp;C$33&amp;",,,USD)")</f>
        <v>0</v>
      </c>
      <c r="C49" s="9"/>
      <c r="D49" s="9"/>
      <c r="E49" s="9"/>
    </row>
    <row r="50" spans="1:5" ht="15" customHeight="1" x14ac:dyDescent="0.25">
      <c r="B50" s="9"/>
      <c r="C50" s="9"/>
      <c r="D50" s="9"/>
      <c r="E50" s="9"/>
    </row>
    <row r="51" spans="1:5" ht="15" customHeight="1" x14ac:dyDescent="0.25">
      <c r="A51" t="s">
        <v>34</v>
      </c>
      <c r="B51" s="9">
        <f>_xll.FDS($A$1,"FF_ASSETS_CURR(ANN_R,"&amp;B$33&amp;","&amp;C$33&amp;",,,USD)")</f>
        <v>763.61099999999999</v>
      </c>
      <c r="C51" s="9"/>
      <c r="D51" s="9"/>
      <c r="E51" s="9"/>
    </row>
    <row r="52" spans="1:5" ht="15" customHeight="1" x14ac:dyDescent="0.25">
      <c r="B52" s="9"/>
      <c r="C52" s="9"/>
      <c r="D52" s="9"/>
      <c r="E52" s="9"/>
    </row>
    <row r="53" spans="1:5" ht="15" customHeight="1" x14ac:dyDescent="0.25">
      <c r="A53" s="1" t="s">
        <v>33</v>
      </c>
      <c r="B53" s="9">
        <f>_xll.FDS($A$1,"FF_ASSETS(ANN_R,"&amp;B$33&amp;","&amp;C$33&amp;",,,USD)")</f>
        <v>835.72799999999995</v>
      </c>
      <c r="C53" s="9"/>
      <c r="D53" s="9"/>
      <c r="E53" s="9"/>
    </row>
    <row r="54" spans="1:5" ht="15" customHeight="1" x14ac:dyDescent="0.25">
      <c r="B54" s="9"/>
      <c r="C54" s="9"/>
      <c r="D54" s="9"/>
      <c r="E54" s="9"/>
    </row>
    <row r="55" spans="1:5" ht="15" customHeight="1" x14ac:dyDescent="0.25">
      <c r="A55" t="s">
        <v>35</v>
      </c>
      <c r="B55" s="9">
        <f>_xll.FDS($A$1,"FF_LIABS_CURR(ANN_R,"&amp;B$33&amp;","&amp;C$33&amp;",,,USD)")</f>
        <v>184.858</v>
      </c>
      <c r="C55" s="9"/>
      <c r="D55" s="9"/>
      <c r="E55" s="9"/>
    </row>
    <row r="56" spans="1:5" ht="15" customHeight="1" x14ac:dyDescent="0.25">
      <c r="A56" s="1" t="s">
        <v>36</v>
      </c>
      <c r="B56" s="9">
        <f>_xll.FDS($A$1,"FF_LIABS(ANN_R,"&amp;B$33&amp;","&amp;C$33&amp;",,,USD)")</f>
        <v>245.18899999999999</v>
      </c>
      <c r="C56" s="9"/>
      <c r="D56" s="9"/>
      <c r="E56" s="9"/>
    </row>
    <row r="57" spans="1:5" ht="15" customHeight="1" x14ac:dyDescent="0.25">
      <c r="B57" s="9"/>
      <c r="C57" s="9"/>
      <c r="D57" s="9"/>
      <c r="E57" s="9"/>
    </row>
    <row r="58" spans="1:5" ht="15" customHeight="1" x14ac:dyDescent="0.25">
      <c r="A58" s="1" t="s">
        <v>37</v>
      </c>
      <c r="B58" s="9">
        <f>_xll.FDS($A$1,"FF_SHLDRS_EQ(ANN_R,"&amp;B$33&amp;","&amp;C$33&amp;",,,USD)")</f>
        <v>590.53899999999999</v>
      </c>
      <c r="C58" s="9"/>
      <c r="D58" s="9"/>
      <c r="E58" s="9"/>
    </row>
    <row r="59" spans="1:5" ht="15" customHeight="1" x14ac:dyDescent="0.25">
      <c r="B59" s="5"/>
      <c r="C59" s="5"/>
    </row>
    <row r="60" spans="1:5" ht="15" customHeight="1" x14ac:dyDescent="0.25">
      <c r="B60" s="5"/>
      <c r="C60" s="5"/>
    </row>
    <row r="61" spans="1:5" ht="15" customHeight="1" x14ac:dyDescent="0.25">
      <c r="B61" s="5"/>
      <c r="C61" s="5"/>
    </row>
    <row r="62" spans="1:5" ht="15" customHeight="1" x14ac:dyDescent="0.25">
      <c r="B62" s="5"/>
      <c r="C62" s="5"/>
    </row>
    <row r="63" spans="1:5" ht="15" customHeight="1" x14ac:dyDescent="0.25">
      <c r="B63" s="5"/>
      <c r="C63" s="5"/>
    </row>
    <row r="64" spans="1:5" ht="15" customHeight="1" x14ac:dyDescent="0.25">
      <c r="B64" s="5"/>
      <c r="C64" s="5"/>
    </row>
    <row r="65" spans="2:3" ht="15" customHeight="1" x14ac:dyDescent="0.25">
      <c r="B65" s="5"/>
      <c r="C65" s="5"/>
    </row>
    <row r="66" spans="2:3" ht="15" customHeight="1" x14ac:dyDescent="0.25">
      <c r="B66" s="5"/>
      <c r="C66" s="5"/>
    </row>
    <row r="67" spans="2:3" x14ac:dyDescent="0.25">
      <c r="B67" s="3"/>
      <c r="C67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23"/>
  <sheetViews>
    <sheetView tabSelected="1" workbookViewId="0">
      <selection activeCell="I18" sqref="I18"/>
    </sheetView>
  </sheetViews>
  <sheetFormatPr defaultRowHeight="15" x14ac:dyDescent="0.25"/>
  <cols>
    <col min="1" max="1" width="15.85546875" customWidth="1"/>
  </cols>
  <sheetData>
    <row r="1" spans="1:2" x14ac:dyDescent="0.25">
      <c r="A1" t="s">
        <v>0</v>
      </c>
      <c r="B1" t="s">
        <v>1</v>
      </c>
    </row>
    <row r="3" spans="1:2" x14ac:dyDescent="0.25">
      <c r="A3" t="s">
        <v>2</v>
      </c>
    </row>
    <row r="4" spans="1:2" x14ac:dyDescent="0.25">
      <c r="A4" t="s">
        <v>3</v>
      </c>
    </row>
    <row r="5" spans="1:2" x14ac:dyDescent="0.25">
      <c r="A5" t="s">
        <v>4</v>
      </c>
    </row>
    <row r="6" spans="1:2" x14ac:dyDescent="0.25">
      <c r="A6" t="s">
        <v>5</v>
      </c>
    </row>
    <row r="7" spans="1:2" x14ac:dyDescent="0.25">
      <c r="A7" t="s">
        <v>6</v>
      </c>
    </row>
    <row r="8" spans="1:2" x14ac:dyDescent="0.25">
      <c r="A8" t="s">
        <v>7</v>
      </c>
    </row>
    <row r="9" spans="1:2" x14ac:dyDescent="0.25">
      <c r="A9" t="s">
        <v>8</v>
      </c>
    </row>
    <row r="10" spans="1:2" x14ac:dyDescent="0.25">
      <c r="A10" t="s">
        <v>9</v>
      </c>
    </row>
    <row r="11" spans="1:2" x14ac:dyDescent="0.25">
      <c r="A11" t="s">
        <v>10</v>
      </c>
    </row>
    <row r="12" spans="1:2" x14ac:dyDescent="0.25">
      <c r="A12" t="s">
        <v>11</v>
      </c>
    </row>
    <row r="13" spans="1:2" x14ac:dyDescent="0.25">
      <c r="A13" t="s">
        <v>12</v>
      </c>
    </row>
    <row r="14" spans="1:2" x14ac:dyDescent="0.25">
      <c r="A14" t="s">
        <v>13</v>
      </c>
    </row>
    <row r="15" spans="1:2" x14ac:dyDescent="0.25">
      <c r="A15" t="s">
        <v>14</v>
      </c>
    </row>
    <row r="16" spans="1:2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Profile">
                <anchor moveWithCells="1" sizeWithCells="1">
                  <from>
                    <xdr:col>2</xdr:col>
                    <xdr:colOff>0</xdr:colOff>
                    <xdr:row>2</xdr:row>
                    <xdr:rowOff>9525</xdr:rowOff>
                  </from>
                  <to>
                    <xdr:col>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_Sheet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4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move_Sheet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Template</vt:lpstr>
      <vt:lpstr>Profile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2018-04-30T13:41:05Z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569e9fca-15a0-47ad-9dc7-9cf2a3948e74</vt:lpwstr>
  </property>
  <property fmtid="{D5CDD505-2E9C-101B-9397-08002B2CF9AE}" pid="3" name="=fdsSearchOrder">
    <vt:i4>0</vt:i4>
  </property>
</Properties>
</file>