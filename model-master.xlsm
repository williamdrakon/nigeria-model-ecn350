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3_ncr:1_{0AB7E61B-03CB-49B9-8662-352BDEB1D89E}" xr6:coauthVersionLast="31" xr6:coauthVersionMax="31" xr10:uidLastSave="{00000000-0000-0000-0000-000000000000}"/>
  <bookViews>
    <workbookView xWindow="0" yWindow="0" windowWidth="20490" windowHeight="8835" firstSheet="1" activeTab="1" xr2:uid="{00000000-000D-0000-FFFF-FFFF00000000}"/>
  </bookViews>
  <sheets>
    <sheet name="__FDSCACHE__" sheetId="196" state="veryHidden" r:id="rId1"/>
    <sheet name="Dashboard" sheetId="1" r:id="rId2"/>
    <sheet name="Data Table" sheetId="318" r:id="rId3"/>
    <sheet name="Template" sheetId="232" r:id="rId4"/>
    <sheet name="Profile Overview" sheetId="4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232" l="1"/>
  <c r="A6" i="232"/>
  <c r="A3" i="232"/>
  <c r="A12" i="232"/>
  <c r="B31" i="232" l="1"/>
  <c r="C31" i="232" s="1"/>
  <c r="C40" i="232"/>
  <c r="C14" i="232" l="1"/>
  <c r="C56" i="232"/>
  <c r="C42" i="232"/>
  <c r="C46" i="232"/>
  <c r="C32" i="232"/>
  <c r="C33" i="232"/>
  <c r="C47" i="232"/>
  <c r="C49" i="232"/>
  <c r="C36" i="232"/>
  <c r="C34" i="232"/>
  <c r="C38" i="232"/>
  <c r="C54" i="232"/>
  <c r="C35" i="232"/>
  <c r="C51" i="232"/>
  <c r="C41" i="232"/>
  <c r="C53" i="232"/>
  <c r="C16" i="232" l="1"/>
  <c r="C18" i="232"/>
  <c r="C21" i="232"/>
  <c r="C27" i="232"/>
  <c r="C22" i="232"/>
  <c r="C26" i="232"/>
  <c r="C20" i="232"/>
  <c r="C19" i="232"/>
  <c r="C25" i="232"/>
  <c r="C17" i="232"/>
  <c r="C23" i="2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Version="1"&gt;&lt;FQL&gt;&lt;Q&gt;MSTR^FG_COMPANY_NAME&lt;/Q&gt;&lt;R&gt;1&lt;/R&gt;&lt;C&gt;1&lt;/C&gt;&lt;D xsi:type="xsd:string"&gt;MicroStrategy Incorporated Class A&lt;/D&gt;&lt;/FQL&gt;&lt;FQL&gt;&lt;Q&gt;MSTR^FF_FISCAL_DATE(ANN_R,NOW,NOW,,,"DATE")&lt;/Q&gt;&lt;R&gt;1&lt;/R&gt;&lt;C&gt;1&lt;/C&gt;&lt;D xsi:type="xsd:string"&gt;12/31/2017&lt;/D&gt;&lt;/FQL&gt;&lt;FQL&gt;&lt;Q&gt;MSTR^FG_PRICE(NOW,NOW,,USD)&lt;/Q&gt;&lt;R&gt;1&lt;/R&gt;&lt;C&gt;1&lt;/C&gt;&lt;D xsi:type="xsd:double"&gt;126.69&lt;/D&gt;&lt;/FQL&gt;&lt;FQL&gt;&lt;Q&gt;MSTR^FF_SHLDRS_EQ(ANN_R,43100,,,,USD)&lt;/Q&gt;&lt;R&gt;1&lt;/R&gt;&lt;C&gt;1&lt;/C&gt;&lt;D xsi:type="xsd:double"&gt;590.539&lt;/D&gt;&lt;/FQL&gt;&lt;FQL&gt;&lt;Q&gt;MSTR^FF_LIABS_CURR(ANN_R,43100,,,,USD)&lt;/Q&gt;&lt;R&gt;1&lt;/R&gt;&lt;C&gt;1&lt;/C&gt;&lt;D xsi:type="xsd:double"&gt;184.858&lt;/D&gt;&lt;/FQL&gt;&lt;FQL&gt;&lt;Q&gt;MSTR^FF_LIABS(ANN_R,43100,,,,USD)&lt;/Q&gt;&lt;R&gt;1&lt;/R&gt;&lt;C&gt;1&lt;/C&gt;&lt;D xsi:type="xsd:double"&gt;245.189&lt;/D&gt;&lt;/FQL&gt;&lt;FQL&gt;&lt;Q&gt;MSTR^FF_ASSETS(ANN_R,43100,,,,USD)&lt;/Q&gt;&lt;R&gt;1&lt;/R&gt;&lt;C&gt;1&lt;/C&gt;&lt;D xsi:type="xsd:double"&gt;835.728&lt;/D&gt;&lt;/FQL&gt;&lt;FQL&gt;&lt;Q&gt;MSTR^FF_ASSETS_CURR(ANN_R,43100,,,,USD)&lt;/Q&gt;&lt;R&gt;1&lt;/R&gt;&lt;C&gt;1&lt;/C&gt;&lt;D xsi:type="xsd:double"&gt;763.611&lt;/D&gt;&lt;/FQL&gt;&lt;FQL&gt;&lt;Q&gt;MSTR^FF_CASH_ONLY(ANN_R,43100,,,,USD)&lt;/Q&gt;&lt;R&gt;1&lt;/R&gt;&lt;C&gt;1&lt;/C&gt;&lt;D xsi:type="xsd:double"&gt;421.182&lt;/D&gt;&lt;/FQL&gt;&lt;FQL&gt;&lt;Q&gt;MSTR^FF_INVEN(ANN_R,43100,,,,USD)&lt;/Q&gt;&lt;R&gt;1&lt;/R&gt;&lt;C&gt;1&lt;/C&gt;&lt;D xsi:type="xsd:double"&gt;0&lt;/D&gt;&lt;/FQL&gt;&lt;FQL&gt;&lt;Q&gt;MSTR^FF_EPS(ANN_R,43100,,,,USD)&lt;/Q&gt;&lt;R&gt;1&lt;/R&gt;&lt;C&gt;1&lt;/C&gt;&lt;D xsi:type="xsd:double"&gt;1.53&lt;/D&gt;&lt;/FQL&gt;&lt;FQL&gt;&lt;Q&gt;MSTR^FG_PRICE(43100,,,USD)&lt;/Q&gt;&lt;R&gt;1&lt;/R&gt;&lt;C&gt;1&lt;/C&gt;&lt;D xsi:type="xsd:double"&gt;131.3&lt;/D&gt;&lt;/FQL&gt;&lt;FQL&gt;&lt;Q&gt;MSTR^FF_PE(ANN_R,43100,)&lt;/Q&gt;&lt;R&gt;1&lt;/R&gt;&lt;C&gt;1&lt;/C&gt;&lt;D xsi:type="xsd:double"&gt;85.816993464052288&lt;/D&gt;&lt;/FQL&gt;&lt;FQL&gt;&lt;Q&gt;MSTR^FF_NET_INC(ANN_R,43100,,,,USD)&lt;/Q&gt;&lt;R&gt;1&lt;/R&gt;&lt;C&gt;1&lt;/C&gt;&lt;D xsi:type="xsd:double"&gt;17.643&lt;/D&gt;&lt;/FQL&gt;&lt;FQL&gt;&lt;Q&gt;MSTR^FF_SALES(ANN_R,43100,,,,USD)&lt;/Q&gt;&lt;R&gt;1&lt;/R&gt;&lt;C&gt;1&lt;/C&gt;&lt;D xsi:type="xsd:double"&gt;504.543&lt;/D&gt;&lt;/FQL&gt;&lt;FQL&gt;&lt;Q&gt;MSTR^FF_COGS_XDEP(ANN_R,43100,,,,USD)&lt;/Q&gt;&lt;R&gt;1&lt;/R&gt;&lt;C&gt;1&lt;/C&gt;&lt;D xsi:type="xsd:double"&gt;82.251&lt;/D&gt;&lt;/FQL&gt;&lt;FQL&gt;&lt;Q&gt;MSTR^FF_GROSS_INC(ANN_R,43100,,,,USD)&lt;/Q&gt;&lt;R&gt;1&lt;/R&gt;&lt;C&gt;1&lt;/C&gt;&lt;D xsi:type="xsd:double"&gt;407.894&lt;/D&gt;&lt;/FQL&gt;&lt;FQL&gt;&lt;Q&gt;MSTR^FF_SGA(ANN_R,43100,,,,USD)&lt;/Q&gt;&lt;R&gt;1&lt;/R&gt;&lt;C&gt;1&lt;/C&gt;&lt;D xsi:type="xsd:double"&gt;333.539&lt;/D&gt;&lt;/FQL&gt;&lt;FQL&gt;&lt;Q&gt;MSTR^FF_OPER_INC(ANN_R,43100,,,,USD)&lt;/Q&gt;&lt;R&gt;1&lt;/R&gt;&lt;C&gt;1&lt;/C&gt;&lt;D xsi:type="xsd:double"&gt;74.355&lt;/D&gt;&lt;/FQL&gt;&lt;/Schema&gt;</t>
        </r>
      </text>
    </comment>
  </commentList>
</comments>
</file>

<file path=xl/sharedStrings.xml><?xml version="1.0" encoding="utf-8"?>
<sst xmlns="http://schemas.openxmlformats.org/spreadsheetml/2006/main" count="98" uniqueCount="62">
  <si>
    <t xml:space="preserve">Selected Profile: </t>
  </si>
  <si>
    <t>nigeria-cpg</t>
  </si>
  <si>
    <t>cadbury-ng</t>
  </si>
  <si>
    <t>champion-ng</t>
  </si>
  <si>
    <t>dangflour-ng</t>
  </si>
  <si>
    <t>dangsugar-ng</t>
  </si>
  <si>
    <t>dunlop-ng</t>
  </si>
  <si>
    <t>enamelwa-ng</t>
  </si>
  <si>
    <t>flourmill-ng</t>
  </si>
  <si>
    <t>goldbrew-ng</t>
  </si>
  <si>
    <t>guinness-ng</t>
  </si>
  <si>
    <t>honyflour-ng</t>
  </si>
  <si>
    <t>intbrew-ng</t>
  </si>
  <si>
    <t>mcnichols-ng</t>
  </si>
  <si>
    <t>multitrex-ng</t>
  </si>
  <si>
    <t>nascon-ng</t>
  </si>
  <si>
    <t>nb-ng</t>
  </si>
  <si>
    <t>nestle-ng</t>
  </si>
  <si>
    <t>nnfm-ng</t>
  </si>
  <si>
    <t>pz-ng</t>
  </si>
  <si>
    <t>unilever-ng</t>
  </si>
  <si>
    <t>uniondicon-ng</t>
  </si>
  <si>
    <t>vitafoam-ng</t>
  </si>
  <si>
    <t>Selected Financial Data</t>
  </si>
  <si>
    <t>Income Statement</t>
  </si>
  <si>
    <t>Net Sales</t>
  </si>
  <si>
    <t>COGS</t>
  </si>
  <si>
    <t>Gross Profit</t>
  </si>
  <si>
    <t>SGA</t>
  </si>
  <si>
    <t>Operating Income</t>
  </si>
  <si>
    <t>Balance Sheet</t>
  </si>
  <si>
    <t>Cash</t>
  </si>
  <si>
    <t>Inventory</t>
  </si>
  <si>
    <t>Total Assets</t>
  </si>
  <si>
    <t>Current Assets</t>
  </si>
  <si>
    <t>Current Liabilities</t>
  </si>
  <si>
    <t>Total Liabilities</t>
  </si>
  <si>
    <t>Total Equity</t>
  </si>
  <si>
    <t>Earnings Per Share</t>
  </si>
  <si>
    <t>Price</t>
  </si>
  <si>
    <t>P/E</t>
  </si>
  <si>
    <t>Net Income</t>
  </si>
  <si>
    <t>Selected Metrics</t>
  </si>
  <si>
    <t>Current Price</t>
  </si>
  <si>
    <t>Current Ratio</t>
  </si>
  <si>
    <t>Latest Year</t>
  </si>
  <si>
    <t>Debt to Equity</t>
  </si>
  <si>
    <t>Assets</t>
  </si>
  <si>
    <t>Sales</t>
  </si>
  <si>
    <t>Liabilities</t>
  </si>
  <si>
    <t>Equity</t>
  </si>
  <si>
    <t>Debt Ratio</t>
  </si>
  <si>
    <t>Sales Turnover (COGS)</t>
  </si>
  <si>
    <t>This sheet contains FactSet XML data for use with this workbook's =FDS codes.  Modifying the worksheet's contents may damage the workbook's =FDS functionality.</t>
  </si>
  <si>
    <t>Company Name</t>
  </si>
  <si>
    <t>Periods Shown</t>
  </si>
  <si>
    <t>Profile</t>
  </si>
  <si>
    <t>Growth Rates</t>
  </si>
  <si>
    <t>Ratios</t>
  </si>
  <si>
    <t>Number of Years:</t>
  </si>
  <si>
    <t>Date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</si>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</sst>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Period Ending&quot;"/>
    <numFmt numFmtId="165" formatCode="&quot;.&quot;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NumberFormat="1" applyFill="1"/>
    <xf numFmtId="14" fontId="0" fillId="0" borderId="0" xfId="0" applyNumberFormat="1"/>
    <xf numFmtId="0" fontId="3" fillId="0" borderId="0" xfId="0" applyNumberFormat="1" applyFont="1" applyFill="1" applyBorder="1" applyAlignment="1"/>
    <xf numFmtId="14" fontId="0" fillId="0" borderId="0" xfId="0" applyNumberFormat="1" applyFill="1"/>
    <xf numFmtId="14" fontId="0" fillId="0" borderId="0" xfId="0" applyNumberFormat="1" applyFont="1" applyFill="1"/>
    <xf numFmtId="2" fontId="0" fillId="0" borderId="0" xfId="0" applyNumberFormat="1" applyFill="1"/>
    <xf numFmtId="2" fontId="3" fillId="0" borderId="0" xfId="0" applyNumberFormat="1" applyFont="1" applyFill="1" applyBorder="1" applyAlignment="1"/>
    <xf numFmtId="0" fontId="5" fillId="0" borderId="0" xfId="0" applyFont="1"/>
    <xf numFmtId="0" fontId="5" fillId="0" borderId="0" xfId="0" applyNumberFormat="1" applyFont="1" applyFill="1"/>
    <xf numFmtId="164" fontId="0" fillId="0" borderId="0" xfId="0" applyNumberFormat="1" applyFill="1" applyAlignment="1">
      <alignment horizontal="left"/>
    </xf>
    <xf numFmtId="0" fontId="6" fillId="0" borderId="0" xfId="0" applyFont="1"/>
    <xf numFmtId="10" fontId="0" fillId="0" borderId="0" xfId="1" applyNumberFormat="1" applyFont="1"/>
    <xf numFmtId="2" fontId="0" fillId="0" borderId="0" xfId="0" applyNumberFormat="1"/>
    <xf numFmtId="0" fontId="4" fillId="2" borderId="0" xfId="2"/>
    <xf numFmtId="0" fontId="4" fillId="2" borderId="0" xfId="2" applyBorder="1"/>
    <xf numFmtId="0" fontId="0" fillId="2" borderId="1" xfId="2" applyFont="1" applyBorder="1"/>
    <xf numFmtId="0" fontId="4" fillId="2" borderId="2" xfId="2" applyBorder="1" applyAlignment="1">
      <alignment horizontal="center"/>
    </xf>
    <xf numFmtId="0" fontId="4" fillId="2" borderId="3" xfId="2" applyBorder="1"/>
    <xf numFmtId="0" fontId="4" fillId="2" borderId="4" xfId="2" applyBorder="1"/>
    <xf numFmtId="0" fontId="4" fillId="2" borderId="5" xfId="2" applyBorder="1"/>
    <xf numFmtId="0" fontId="4" fillId="2" borderId="6" xfId="2" applyBorder="1"/>
    <xf numFmtId="165" fontId="9" fillId="2" borderId="4" xfId="2" applyNumberFormat="1" applyFont="1" applyBorder="1"/>
    <xf numFmtId="164" fontId="8" fillId="0" borderId="0" xfId="0" applyNumberFormat="1" applyFont="1" applyFill="1" applyAlignment="1">
      <alignment horizontal="left"/>
    </xf>
  </cellXfs>
  <cellStyles count="3">
    <cellStyle name="20% - Accent1" xfId="2" builtinId="30"/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47625</xdr:rowOff>
        </xdr:from>
        <xdr:to>
          <xdr:col>3</xdr:col>
          <xdr:colOff>0</xdr:colOff>
          <xdr:row>6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61A3165E-9C98-49B9-881B-B6A96CC61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76200</xdr:rowOff>
        </xdr:from>
        <xdr:to>
          <xdr:col>3</xdr:col>
          <xdr:colOff>0</xdr:colOff>
          <xdr:row>8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B2BF8B50-9B04-45B8-BCF7-919171F3A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104775</xdr:rowOff>
        </xdr:from>
        <xdr:to>
          <xdr:col>3</xdr:col>
          <xdr:colOff>0</xdr:colOff>
          <xdr:row>10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45509ADD-2916-410E-B8DF-17780FAFA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1"/>
  <sheetViews>
    <sheetView workbookViewId="0"/>
  </sheetViews>
  <sheetFormatPr defaultRowHeight="15" x14ac:dyDescent="0.25"/>
  <sheetData>
    <row r="1" spans="1:2" x14ac:dyDescent="0.25">
      <c r="B1" t="s">
        <v>53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H11"/>
  <sheetViews>
    <sheetView tabSelected="1" zoomScale="101" workbookViewId="0">
      <selection activeCell="F7" sqref="F7"/>
    </sheetView>
  </sheetViews>
  <sheetFormatPr defaultRowHeight="15" x14ac:dyDescent="0.25"/>
  <cols>
    <col min="1" max="1" width="9.140625" style="16"/>
    <col min="2" max="2" width="17.5703125" style="16" customWidth="1"/>
    <col min="3" max="3" width="6.28515625" style="16" customWidth="1"/>
    <col min="4" max="16384" width="9.140625" style="16"/>
  </cols>
  <sheetData>
    <row r="3" spans="2:8" ht="15.75" thickBot="1" x14ac:dyDescent="0.3"/>
    <row r="4" spans="2:8" x14ac:dyDescent="0.25">
      <c r="B4" s="18" t="s">
        <v>59</v>
      </c>
      <c r="C4" s="19">
        <v>5</v>
      </c>
    </row>
    <row r="5" spans="2:8" x14ac:dyDescent="0.25">
      <c r="B5" s="20"/>
      <c r="C5" s="21"/>
    </row>
    <row r="6" spans="2:8" x14ac:dyDescent="0.25">
      <c r="B6" s="20" t="s">
        <v>56</v>
      </c>
      <c r="C6" s="24" t="s">
        <v>1</v>
      </c>
      <c r="G6" s="17"/>
      <c r="H6" s="17"/>
    </row>
    <row r="7" spans="2:8" x14ac:dyDescent="0.25">
      <c r="B7" s="20"/>
      <c r="C7" s="21"/>
    </row>
    <row r="8" spans="2:8" x14ac:dyDescent="0.25">
      <c r="B8" s="20"/>
      <c r="C8" s="21"/>
    </row>
    <row r="9" spans="2:8" x14ac:dyDescent="0.25">
      <c r="B9" s="20"/>
      <c r="C9" s="21"/>
    </row>
    <row r="10" spans="2:8" ht="16.5" customHeight="1" x14ac:dyDescent="0.25">
      <c r="B10" s="20"/>
      <c r="C10" s="21"/>
    </row>
    <row r="11" spans="2:8" ht="11.25" customHeight="1" thickBot="1" x14ac:dyDescent="0.3">
      <c r="B11" s="22"/>
      <c r="C11" s="23"/>
    </row>
  </sheetData>
  <dataValidations count="1">
    <dataValidation type="whole" allowBlank="1" showInputMessage="1" showErrorMessage="1" sqref="C4" xr:uid="{119D6ED7-B4F2-4A71-AC4A-8C2A264CA4A2}">
      <formula1>1</formula1>
      <formula2>20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Update_Profile">
                <anchor moveWithCells="1" sizeWithCells="1">
                  <from>
                    <xdr:col>1</xdr:col>
                    <xdr:colOff>9525</xdr:colOff>
                    <xdr:row>4</xdr:row>
                    <xdr:rowOff>47625</xdr:rowOff>
                  </from>
                  <to>
                    <xdr:col>3</xdr:col>
                    <xdr:colOff>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Update_Sheets">
                <anchor moveWithCells="1" sizeWithCells="1">
                  <from>
                    <xdr:col>1</xdr:col>
                    <xdr:colOff>9525</xdr:colOff>
                    <xdr:row>6</xdr:row>
                    <xdr:rowOff>76200</xdr:rowOff>
                  </from>
                  <to>
                    <xdr:col>3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move_Sheets">
                <anchor moveWithCells="1" sizeWithCells="1">
                  <from>
                    <xdr:col>1</xdr:col>
                    <xdr:colOff>9525</xdr:colOff>
                    <xdr:row>8</xdr:row>
                    <xdr:rowOff>104775</xdr:rowOff>
                  </from>
                  <to>
                    <xdr:col>3</xdr:col>
                    <xdr:colOff>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5CEA-6343-4457-95B9-5FC38F22E295}">
  <sheetPr codeName="Sheet3"/>
  <dimension ref="A1:AQ1"/>
  <sheetViews>
    <sheetView workbookViewId="0">
      <selection activeCell="A2" sqref="A2"/>
    </sheetView>
  </sheetViews>
  <sheetFormatPr defaultRowHeight="15" x14ac:dyDescent="0.25"/>
  <cols>
    <col min="2" max="2" width="14" customWidth="1"/>
  </cols>
  <sheetData>
    <row r="1" spans="1:43" x14ac:dyDescent="0.25">
      <c r="A1" t="s">
        <v>61</v>
      </c>
      <c r="B1" s="10" t="s">
        <v>61</v>
      </c>
      <c r="C1" s="2" t="s">
        <v>39</v>
      </c>
      <c r="D1" s="2" t="s">
        <v>52</v>
      </c>
      <c r="E1" s="2" t="s">
        <v>48</v>
      </c>
      <c r="F1" s="2" t="s">
        <v>29</v>
      </c>
      <c r="G1" s="2" t="s">
        <v>41</v>
      </c>
      <c r="H1" s="2" t="s">
        <v>47</v>
      </c>
      <c r="I1" s="2" t="s">
        <v>49</v>
      </c>
      <c r="J1" s="2" t="s">
        <v>50</v>
      </c>
      <c r="K1" s="10" t="s">
        <v>58</v>
      </c>
      <c r="L1" t="s">
        <v>44</v>
      </c>
      <c r="M1" t="s">
        <v>51</v>
      </c>
      <c r="N1" t="s">
        <v>46</v>
      </c>
      <c r="P1" s="13" t="s">
        <v>23</v>
      </c>
      <c r="Q1" s="1" t="s">
        <v>24</v>
      </c>
      <c r="R1" s="12" t="s">
        <v>60</v>
      </c>
      <c r="S1" s="2" t="s">
        <v>25</v>
      </c>
      <c r="T1" s="2" t="s">
        <v>26</v>
      </c>
      <c r="U1" t="s">
        <v>27</v>
      </c>
      <c r="V1" t="s">
        <v>28</v>
      </c>
      <c r="W1" s="2" t="s">
        <v>29</v>
      </c>
      <c r="Y1" t="s">
        <v>41</v>
      </c>
      <c r="Z1" s="1"/>
      <c r="AA1" t="s">
        <v>38</v>
      </c>
      <c r="AB1" t="s">
        <v>39</v>
      </c>
      <c r="AC1" t="s">
        <v>40</v>
      </c>
      <c r="AE1" s="1" t="s">
        <v>30</v>
      </c>
      <c r="AG1" t="s">
        <v>31</v>
      </c>
      <c r="AH1" t="s">
        <v>32</v>
      </c>
      <c r="AJ1" t="s">
        <v>34</v>
      </c>
      <c r="AL1" s="1" t="s">
        <v>33</v>
      </c>
      <c r="AN1" t="s">
        <v>35</v>
      </c>
      <c r="AO1" s="1" t="s">
        <v>36</v>
      </c>
      <c r="AQ1" s="1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2ABD5-F7D9-4086-8CE5-6F9BCDBDC60A}">
  <sheetPr codeName="Sheet27"/>
  <dimension ref="A1:H65"/>
  <sheetViews>
    <sheetView workbookViewId="0">
      <selection activeCell="C14" sqref="C14"/>
    </sheetView>
  </sheetViews>
  <sheetFormatPr defaultRowHeight="15" x14ac:dyDescent="0.25"/>
  <cols>
    <col min="1" max="1" width="23.140625" customWidth="1"/>
    <col min="2" max="4" width="10.7109375" customWidth="1"/>
    <col min="5" max="6" width="10.7109375" bestFit="1" customWidth="1"/>
    <col min="8" max="8" width="10.7109375" bestFit="1" customWidth="1"/>
  </cols>
  <sheetData>
    <row r="1" spans="1:6" x14ac:dyDescent="0.25">
      <c r="A1" t="s">
        <v>54</v>
      </c>
    </row>
    <row r="3" spans="1:6" x14ac:dyDescent="0.25">
      <c r="A3" s="3" t="e">
        <f ca="1">_xll.FDS($A$1,"FG_COMPANY_NAME")</f>
        <v>#NAME?</v>
      </c>
      <c r="B3" s="3"/>
    </row>
    <row r="4" spans="1:6" x14ac:dyDescent="0.25">
      <c r="A4" s="3"/>
      <c r="B4" s="3"/>
    </row>
    <row r="5" spans="1:6" x14ac:dyDescent="0.25">
      <c r="A5" s="11" t="s">
        <v>45</v>
      </c>
      <c r="B5" s="11"/>
    </row>
    <row r="6" spans="1:6" x14ac:dyDescent="0.25">
      <c r="A6" s="3" t="e">
        <f ca="1">_xll.FDS($A$1,"FF_FISCAL_DATE(ANN_R,NOW,NOW,,,""DATE"")")</f>
        <v>#NAME?</v>
      </c>
      <c r="B6" s="3"/>
    </row>
    <row r="7" spans="1:6" x14ac:dyDescent="0.25">
      <c r="A7" s="3"/>
      <c r="B7" s="3"/>
    </row>
    <row r="8" spans="1:6" x14ac:dyDescent="0.25">
      <c r="A8" s="3" t="s">
        <v>55</v>
      </c>
      <c r="B8" s="3"/>
    </row>
    <row r="9" spans="1:6" x14ac:dyDescent="0.25">
      <c r="A9" s="3">
        <f>Dashboard!$C$4</f>
        <v>5</v>
      </c>
      <c r="B9" s="3"/>
    </row>
    <row r="11" spans="1:6" x14ac:dyDescent="0.25">
      <c r="A11" s="3" t="s">
        <v>43</v>
      </c>
      <c r="B11" s="3"/>
    </row>
    <row r="12" spans="1:6" x14ac:dyDescent="0.25">
      <c r="A12" s="8" t="e">
        <f ca="1">_xll.FDS($A$1,"FG_PRICE(NOW,NOW,,USD)")</f>
        <v>#NAME?</v>
      </c>
      <c r="B12" s="8"/>
    </row>
    <row r="13" spans="1:6" x14ac:dyDescent="0.25">
      <c r="A13" s="8"/>
      <c r="B13" s="8"/>
    </row>
    <row r="14" spans="1:6" x14ac:dyDescent="0.25">
      <c r="A14" s="13" t="s">
        <v>42</v>
      </c>
      <c r="B14" s="13"/>
      <c r="C14" s="4" t="e">
        <f ca="1">C31</f>
        <v>#NAME?</v>
      </c>
      <c r="D14" s="4"/>
      <c r="E14" s="4"/>
      <c r="F14" s="4"/>
    </row>
    <row r="15" spans="1:6" x14ac:dyDescent="0.25">
      <c r="A15" s="10" t="s">
        <v>57</v>
      </c>
      <c r="B15" s="13"/>
      <c r="C15" s="4"/>
      <c r="D15" s="4"/>
      <c r="E15" s="4"/>
      <c r="F15" s="4"/>
    </row>
    <row r="16" spans="1:6" x14ac:dyDescent="0.25">
      <c r="A16" s="2" t="s">
        <v>39</v>
      </c>
      <c r="B16" s="2"/>
      <c r="C16" s="14" t="str">
        <f ca="1">IFERROR((C41-D41)/D41,"")</f>
        <v/>
      </c>
      <c r="D16" s="14"/>
    </row>
    <row r="17" spans="1:8" x14ac:dyDescent="0.25">
      <c r="A17" s="2" t="s">
        <v>52</v>
      </c>
      <c r="B17" s="2"/>
      <c r="C17" s="15" t="str">
        <f ca="1">IFERROR(C33/AVERAGE(C47:D47),"")</f>
        <v/>
      </c>
      <c r="D17" s="15"/>
    </row>
    <row r="18" spans="1:8" x14ac:dyDescent="0.25">
      <c r="A18" s="2" t="s">
        <v>48</v>
      </c>
      <c r="B18" s="2"/>
      <c r="C18" s="14" t="str">
        <f ca="1">IFERROR((C32-D32)/D32,"")</f>
        <v/>
      </c>
      <c r="D18" s="14"/>
    </row>
    <row r="19" spans="1:8" x14ac:dyDescent="0.25">
      <c r="A19" s="2" t="s">
        <v>29</v>
      </c>
      <c r="B19" s="2"/>
      <c r="C19" s="14" t="str">
        <f ca="1">IFERROR((C36-D36)/D36,"")</f>
        <v/>
      </c>
      <c r="D19" s="14"/>
    </row>
    <row r="20" spans="1:8" x14ac:dyDescent="0.25">
      <c r="A20" s="2" t="s">
        <v>41</v>
      </c>
      <c r="B20" s="2"/>
      <c r="C20" s="14" t="str">
        <f ca="1">IFERROR((C38-D38)/D38,"")</f>
        <v/>
      </c>
      <c r="D20" s="14"/>
    </row>
    <row r="21" spans="1:8" x14ac:dyDescent="0.25">
      <c r="A21" s="2" t="s">
        <v>47</v>
      </c>
      <c r="B21" s="2"/>
      <c r="C21" s="14" t="str">
        <f ca="1">IFERROR((C51-D51)/D51,"")</f>
        <v/>
      </c>
      <c r="D21" s="14"/>
    </row>
    <row r="22" spans="1:8" x14ac:dyDescent="0.25">
      <c r="A22" s="2" t="s">
        <v>49</v>
      </c>
      <c r="B22" s="2"/>
      <c r="C22" s="14" t="str">
        <f ca="1">IFERROR((C54-D54)/D54,"")</f>
        <v/>
      </c>
      <c r="D22" s="14"/>
    </row>
    <row r="23" spans="1:8" x14ac:dyDescent="0.25">
      <c r="A23" s="2" t="s">
        <v>50</v>
      </c>
      <c r="B23" s="2"/>
      <c r="C23" s="14" t="str">
        <f ca="1">IFERROR((C56-D56)/D56,"")</f>
        <v/>
      </c>
      <c r="D23" s="14"/>
    </row>
    <row r="24" spans="1:8" x14ac:dyDescent="0.25">
      <c r="A24" s="10" t="s">
        <v>58</v>
      </c>
      <c r="B24" s="2"/>
    </row>
    <row r="25" spans="1:8" x14ac:dyDescent="0.25">
      <c r="A25" t="s">
        <v>44</v>
      </c>
      <c r="B25" s="2"/>
      <c r="C25" s="15" t="str">
        <f ca="1">IFERROR(C49/C53,"")</f>
        <v/>
      </c>
      <c r="D25" s="15"/>
    </row>
    <row r="26" spans="1:8" x14ac:dyDescent="0.25">
      <c r="A26" t="s">
        <v>51</v>
      </c>
      <c r="B26" s="2"/>
      <c r="C26" s="14" t="str">
        <f ca="1">IFERROR(C54/C51,"")</f>
        <v/>
      </c>
      <c r="D26" s="14"/>
    </row>
    <row r="27" spans="1:8" x14ac:dyDescent="0.25">
      <c r="A27" t="s">
        <v>46</v>
      </c>
      <c r="B27" s="2"/>
      <c r="C27" s="15" t="str">
        <f ca="1">IFERROR(C54/C56,"")</f>
        <v/>
      </c>
      <c r="D27" s="15"/>
    </row>
    <row r="28" spans="1:8" x14ac:dyDescent="0.25">
      <c r="B28" s="2"/>
    </row>
    <row r="29" spans="1:8" x14ac:dyDescent="0.25">
      <c r="A29" s="13" t="s">
        <v>23</v>
      </c>
      <c r="B29" s="2"/>
    </row>
    <row r="30" spans="1:8" x14ac:dyDescent="0.25">
      <c r="A30" s="1" t="s">
        <v>24</v>
      </c>
      <c r="B30" s="2"/>
    </row>
    <row r="31" spans="1:8" x14ac:dyDescent="0.25">
      <c r="B31" s="25" t="e">
        <f ca="1">DATE(YEAR(A6)+1,12,31)</f>
        <v>#NAME?</v>
      </c>
      <c r="C31" s="7" t="e">
        <f ca="1">DATE(YEAR(B31)-1,12,31)</f>
        <v>#NAME?</v>
      </c>
      <c r="D31" s="7"/>
      <c r="E31" s="7"/>
      <c r="F31" s="7"/>
      <c r="G31" s="6"/>
      <c r="H31" s="4"/>
    </row>
    <row r="32" spans="1:8" x14ac:dyDescent="0.25">
      <c r="A32" s="2" t="s">
        <v>25</v>
      </c>
      <c r="B32" s="2"/>
      <c r="C32" s="8" t="e">
        <f ca="1">_xll.FDS($A$1,"FF_SALES(ANN_R,"&amp;C$31&amp;","&amp;D$31&amp;",,,USD)")</f>
        <v>#NAME?</v>
      </c>
      <c r="D32" s="8"/>
      <c r="E32" s="8"/>
      <c r="F32" s="8"/>
    </row>
    <row r="33" spans="1:6" x14ac:dyDescent="0.25">
      <c r="A33" s="2" t="s">
        <v>26</v>
      </c>
      <c r="B33" s="2"/>
      <c r="C33" s="8" t="e">
        <f ca="1">_xll.FDS($A$1,"FF_COGS_XDEP(ANN_R,"&amp;C$31&amp;","&amp;D$31&amp;",,,USD)")</f>
        <v>#NAME?</v>
      </c>
      <c r="D33" s="8"/>
      <c r="E33" s="8"/>
      <c r="F33" s="8"/>
    </row>
    <row r="34" spans="1:6" x14ac:dyDescent="0.25">
      <c r="A34" t="s">
        <v>27</v>
      </c>
      <c r="B34" s="2"/>
      <c r="C34" s="8" t="e">
        <f ca="1">_xll.FDS($A$1,"FF_GROSS_INC(ANN_R,"&amp;C$31&amp;","&amp;D$31&amp;",,,USD)")</f>
        <v>#NAME?</v>
      </c>
      <c r="D34" s="8"/>
      <c r="E34" s="8"/>
      <c r="F34" s="8"/>
    </row>
    <row r="35" spans="1:6" x14ac:dyDescent="0.25">
      <c r="A35" t="s">
        <v>28</v>
      </c>
      <c r="B35" s="2"/>
      <c r="C35" s="8" t="e">
        <f ca="1">_xll.FDS($A$1,"FF_SGA(ANN_R,"&amp;C$31&amp;","&amp;D$31&amp;",,,USD)")</f>
        <v>#NAME?</v>
      </c>
      <c r="D35" s="8"/>
      <c r="E35" s="8"/>
      <c r="F35" s="8"/>
    </row>
    <row r="36" spans="1:6" x14ac:dyDescent="0.25">
      <c r="A36" s="2" t="s">
        <v>29</v>
      </c>
      <c r="B36" s="2"/>
      <c r="C36" s="8" t="e">
        <f ca="1">_xll.FDS($A$1,"FF_OPER_INC(ANN_R,"&amp;C$31&amp;","&amp;D$31&amp;",,,USD)")</f>
        <v>#NAME?</v>
      </c>
      <c r="D36" s="8"/>
      <c r="E36" s="8"/>
      <c r="F36" s="8"/>
    </row>
    <row r="37" spans="1:6" x14ac:dyDescent="0.25">
      <c r="B37" s="2"/>
      <c r="C37" s="8"/>
      <c r="D37" s="8"/>
      <c r="E37" s="8"/>
      <c r="F37" s="8"/>
    </row>
    <row r="38" spans="1:6" x14ac:dyDescent="0.25">
      <c r="A38" t="s">
        <v>41</v>
      </c>
      <c r="B38" s="2"/>
      <c r="C38" s="8" t="e">
        <f ca="1">_xll.FDS($A$1,"FF_NET_INC(ANN_R,"&amp;C$31&amp;","&amp;D$31&amp;",,,USD)")</f>
        <v>#NAME?</v>
      </c>
      <c r="D38" s="8"/>
      <c r="E38" s="8"/>
      <c r="F38" s="8"/>
    </row>
    <row r="39" spans="1:6" x14ac:dyDescent="0.25">
      <c r="A39" s="1"/>
      <c r="B39" s="2"/>
      <c r="C39" s="3"/>
      <c r="D39" s="3"/>
      <c r="E39" s="3"/>
      <c r="F39" s="3"/>
    </row>
    <row r="40" spans="1:6" x14ac:dyDescent="0.25">
      <c r="A40" t="s">
        <v>38</v>
      </c>
      <c r="B40" s="2"/>
      <c r="C40" s="8" t="e">
        <f ca="1">_xll.FDS($A$1,"FF_EPS(ANN_R,"&amp;C$31&amp;","&amp;D$31&amp;",,,USD)")</f>
        <v>#NAME?</v>
      </c>
      <c r="D40" s="8"/>
      <c r="E40" s="8"/>
      <c r="F40" s="8"/>
    </row>
    <row r="41" spans="1:6" ht="15" customHeight="1" x14ac:dyDescent="0.25">
      <c r="A41" t="s">
        <v>39</v>
      </c>
      <c r="B41" s="2"/>
      <c r="C41" s="9" t="e">
        <f ca="1">_xll.FDS($A$1,"FG_PRICE("&amp;C$31&amp;","&amp;D$31&amp;",,USD)")</f>
        <v>#NAME?</v>
      </c>
      <c r="D41" s="9"/>
      <c r="E41" s="9"/>
      <c r="F41" s="9"/>
    </row>
    <row r="42" spans="1:6" ht="15" customHeight="1" x14ac:dyDescent="0.25">
      <c r="A42" t="s">
        <v>40</v>
      </c>
      <c r="B42" s="2"/>
      <c r="C42" s="9" t="e">
        <f ca="1">_xll.FDS($A$1,"FF_PE(ANN_R,"&amp;C$31&amp;","&amp;D$31&amp;")")</f>
        <v>#NAME?</v>
      </c>
      <c r="D42" s="9"/>
      <c r="E42" s="9"/>
      <c r="F42" s="9"/>
    </row>
    <row r="43" spans="1:6" ht="15" customHeight="1" x14ac:dyDescent="0.25">
      <c r="B43" s="2"/>
      <c r="C43" s="5"/>
      <c r="D43" s="5"/>
      <c r="E43" s="5"/>
      <c r="F43" s="5"/>
    </row>
    <row r="44" spans="1:6" ht="15" customHeight="1" x14ac:dyDescent="0.25">
      <c r="A44" s="1" t="s">
        <v>30</v>
      </c>
      <c r="B44" s="2"/>
      <c r="C44" s="5"/>
      <c r="D44" s="5"/>
      <c r="E44" s="5"/>
      <c r="F44" s="5"/>
    </row>
    <row r="45" spans="1:6" ht="15" customHeight="1" x14ac:dyDescent="0.25">
      <c r="B45" s="2"/>
      <c r="C45" s="5"/>
      <c r="D45" s="5"/>
      <c r="E45" s="5"/>
      <c r="F45" s="5"/>
    </row>
    <row r="46" spans="1:6" ht="15" customHeight="1" x14ac:dyDescent="0.25">
      <c r="A46" t="s">
        <v>31</v>
      </c>
      <c r="B46" s="2"/>
      <c r="C46" s="9" t="e">
        <f ca="1">_xll.FDS($A$1,"FF_CASH_ONLY(ANN_R,"&amp;C$31&amp;","&amp;D$31&amp;",,,USD)")</f>
        <v>#NAME?</v>
      </c>
      <c r="D46" s="9"/>
      <c r="E46" s="9"/>
      <c r="F46" s="9"/>
    </row>
    <row r="47" spans="1:6" ht="15" customHeight="1" x14ac:dyDescent="0.25">
      <c r="A47" t="s">
        <v>32</v>
      </c>
      <c r="B47" s="2"/>
      <c r="C47" s="9" t="e">
        <f ca="1">_xll.FDS($A$1,"FF_INVEN(ANN_R,"&amp;C$31&amp;","&amp;D$31&amp;",,,USD)")</f>
        <v>#NAME?</v>
      </c>
      <c r="D47" s="9"/>
      <c r="E47" s="9"/>
      <c r="F47" s="9"/>
    </row>
    <row r="48" spans="1:6" ht="15" customHeight="1" x14ac:dyDescent="0.25">
      <c r="B48" s="2"/>
      <c r="C48" s="9"/>
      <c r="D48" s="9"/>
      <c r="E48" s="9"/>
      <c r="F48" s="9"/>
    </row>
    <row r="49" spans="1:6" ht="15" customHeight="1" x14ac:dyDescent="0.25">
      <c r="A49" t="s">
        <v>34</v>
      </c>
      <c r="B49" s="2"/>
      <c r="C49" s="9" t="e">
        <f ca="1">_xll.FDS($A$1,"FF_ASSETS_CURR(ANN_R,"&amp;C$31&amp;","&amp;D$31&amp;",,,USD)")</f>
        <v>#NAME?</v>
      </c>
      <c r="D49" s="9"/>
      <c r="E49" s="9"/>
      <c r="F49" s="9"/>
    </row>
    <row r="50" spans="1:6" ht="15" customHeight="1" x14ac:dyDescent="0.25">
      <c r="B50" s="2"/>
      <c r="C50" s="9"/>
      <c r="D50" s="9"/>
      <c r="E50" s="9"/>
      <c r="F50" s="9"/>
    </row>
    <row r="51" spans="1:6" ht="15" customHeight="1" x14ac:dyDescent="0.25">
      <c r="A51" s="1" t="s">
        <v>33</v>
      </c>
      <c r="B51" s="2"/>
      <c r="C51" s="9" t="e">
        <f ca="1">_xll.FDS($A$1,"FF_ASSETS(ANN_R,"&amp;C$31&amp;","&amp;D$31&amp;",,,USD)")</f>
        <v>#NAME?</v>
      </c>
      <c r="D51" s="9"/>
      <c r="E51" s="9"/>
      <c r="F51" s="9"/>
    </row>
    <row r="52" spans="1:6" ht="15" customHeight="1" x14ac:dyDescent="0.25">
      <c r="B52" s="2"/>
      <c r="C52" s="9"/>
      <c r="D52" s="9"/>
      <c r="E52" s="9"/>
      <c r="F52" s="9"/>
    </row>
    <row r="53" spans="1:6" ht="15" customHeight="1" x14ac:dyDescent="0.25">
      <c r="A53" t="s">
        <v>35</v>
      </c>
      <c r="B53" s="2"/>
      <c r="C53" s="9" t="e">
        <f ca="1">_xll.FDS($A$1,"FF_LIABS_CURR(ANN_R,"&amp;C$31&amp;","&amp;D$31&amp;",,,USD)")</f>
        <v>#NAME?</v>
      </c>
      <c r="D53" s="9"/>
      <c r="E53" s="9"/>
      <c r="F53" s="9"/>
    </row>
    <row r="54" spans="1:6" ht="15" customHeight="1" x14ac:dyDescent="0.25">
      <c r="A54" s="1" t="s">
        <v>36</v>
      </c>
      <c r="B54" s="2"/>
      <c r="C54" s="9" t="e">
        <f ca="1">_xll.FDS($A$1,"FF_LIABS(ANN_R,"&amp;C$31&amp;","&amp;D$31&amp;",,,USD)")</f>
        <v>#NAME?</v>
      </c>
      <c r="D54" s="9"/>
      <c r="E54" s="9"/>
      <c r="F54" s="9"/>
    </row>
    <row r="55" spans="1:6" ht="15" customHeight="1" x14ac:dyDescent="0.25">
      <c r="B55" s="2"/>
      <c r="C55" s="9"/>
      <c r="D55" s="9"/>
      <c r="E55" s="9"/>
      <c r="F55" s="9"/>
    </row>
    <row r="56" spans="1:6" ht="15" customHeight="1" x14ac:dyDescent="0.25">
      <c r="A56" s="1" t="s">
        <v>37</v>
      </c>
      <c r="B56" s="2"/>
      <c r="C56" s="9" t="e">
        <f ca="1">_xll.FDS($A$1,"FF_SHLDRS_EQ(ANN_R,"&amp;C$31&amp;","&amp;D$31&amp;",,,USD)")</f>
        <v>#NAME?</v>
      </c>
      <c r="D56" s="9"/>
      <c r="E56" s="9"/>
      <c r="F56" s="9"/>
    </row>
    <row r="57" spans="1:6" ht="15" customHeight="1" x14ac:dyDescent="0.25">
      <c r="C57" s="5"/>
      <c r="D57" s="5"/>
    </row>
    <row r="58" spans="1:6" ht="15" customHeight="1" x14ac:dyDescent="0.25">
      <c r="C58" s="5"/>
      <c r="D58" s="5"/>
    </row>
    <row r="59" spans="1:6" ht="15" customHeight="1" x14ac:dyDescent="0.25">
      <c r="C59" s="5"/>
      <c r="D59" s="5"/>
    </row>
    <row r="60" spans="1:6" ht="15" customHeight="1" x14ac:dyDescent="0.25">
      <c r="C60" s="5"/>
      <c r="D60" s="5"/>
    </row>
    <row r="61" spans="1:6" ht="15" customHeight="1" x14ac:dyDescent="0.25">
      <c r="C61" s="5"/>
      <c r="D61" s="5"/>
    </row>
    <row r="62" spans="1:6" ht="15" customHeight="1" x14ac:dyDescent="0.25">
      <c r="C62" s="5"/>
      <c r="D62" s="5"/>
    </row>
    <row r="63" spans="1:6" ht="15" customHeight="1" x14ac:dyDescent="0.25">
      <c r="C63" s="5"/>
      <c r="D63" s="5"/>
    </row>
    <row r="64" spans="1:6" ht="15" customHeight="1" x14ac:dyDescent="0.25">
      <c r="C64" s="5"/>
      <c r="D64" s="5"/>
    </row>
    <row r="65" spans="3:4" x14ac:dyDescent="0.25">
      <c r="C65" s="3"/>
      <c r="D65" s="3"/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D0766CB-80A7-4B23-A617-6EAD0EBD604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Template!C16:R16</xm:f>
              <xm:sqref>B16</xm:sqref>
            </x14:sparkline>
            <x14:sparkline>
              <xm:f>Template!C17:R17</xm:f>
              <xm:sqref>B17</xm:sqref>
            </x14:sparkline>
            <x14:sparkline>
              <xm:f>Template!C18:R18</xm:f>
              <xm:sqref>B18</xm:sqref>
            </x14:sparkline>
            <x14:sparkline>
              <xm:f>Template!C19:R19</xm:f>
              <xm:sqref>B19</xm:sqref>
            </x14:sparkline>
            <x14:sparkline>
              <xm:f>Template!C20:R20</xm:f>
              <xm:sqref>B20</xm:sqref>
            </x14:sparkline>
            <x14:sparkline>
              <xm:f>Template!C21:R21</xm:f>
              <xm:sqref>B21</xm:sqref>
            </x14:sparkline>
            <x14:sparkline>
              <xm:f>Template!C22:R22</xm:f>
              <xm:sqref>B22</xm:sqref>
            </x14:sparkline>
            <x14:sparkline>
              <xm:f>Template!C23:R23</xm:f>
              <xm:sqref>B23</xm:sqref>
            </x14:sparkline>
            <x14:sparkline>
              <xm:f>Template!C24:R24</xm:f>
              <xm:sqref>B24</xm:sqref>
            </x14:sparkline>
            <x14:sparkline>
              <xm:f>Template!C25:R25</xm:f>
              <xm:sqref>B25</xm:sqref>
            </x14:sparkline>
            <x14:sparkline>
              <xm:f>Template!C26:R26</xm:f>
              <xm:sqref>B26</xm:sqref>
            </x14:sparkline>
            <x14:sparkline>
              <xm:f>Template!C27:R27</xm:f>
              <xm:sqref>B27</xm:sqref>
            </x14:sparkline>
            <x14:sparkline>
              <xm:f>Template!C28:R28</xm:f>
              <xm:sqref>B28</xm:sqref>
            </x14:sparkline>
            <x14:sparkline>
              <xm:f>Template!C29:R29</xm:f>
              <xm:sqref>B29</xm:sqref>
            </x14:sparkline>
            <x14:sparkline>
              <xm:f>Template!C30:R30</xm:f>
              <xm:sqref>B30</xm:sqref>
            </x14:sparkline>
            <x14:sparkline>
              <xm:f>Template!C32:R32</xm:f>
              <xm:sqref>B32</xm:sqref>
            </x14:sparkline>
            <x14:sparkline>
              <xm:f>Template!C33:R33</xm:f>
              <xm:sqref>B33</xm:sqref>
            </x14:sparkline>
            <x14:sparkline>
              <xm:f>Template!C34:R34</xm:f>
              <xm:sqref>B34</xm:sqref>
            </x14:sparkline>
            <x14:sparkline>
              <xm:f>Template!C35:R35</xm:f>
              <xm:sqref>B35</xm:sqref>
            </x14:sparkline>
            <x14:sparkline>
              <xm:f>Template!C36:R36</xm:f>
              <xm:sqref>B36</xm:sqref>
            </x14:sparkline>
            <x14:sparkline>
              <xm:f>Template!C37:R37</xm:f>
              <xm:sqref>B37</xm:sqref>
            </x14:sparkline>
            <x14:sparkline>
              <xm:f>Template!C38:R38</xm:f>
              <xm:sqref>B38</xm:sqref>
            </x14:sparkline>
            <x14:sparkline>
              <xm:f>Template!C39:R39</xm:f>
              <xm:sqref>B39</xm:sqref>
            </x14:sparkline>
            <x14:sparkline>
              <xm:f>Template!C40:R40</xm:f>
              <xm:sqref>B40</xm:sqref>
            </x14:sparkline>
            <x14:sparkline>
              <xm:f>Template!C41:R41</xm:f>
              <xm:sqref>B41</xm:sqref>
            </x14:sparkline>
            <x14:sparkline>
              <xm:f>Template!C42:R42</xm:f>
              <xm:sqref>B42</xm:sqref>
            </x14:sparkline>
            <x14:sparkline>
              <xm:f>Template!C43:R43</xm:f>
              <xm:sqref>B43</xm:sqref>
            </x14:sparkline>
            <x14:sparkline>
              <xm:f>Template!C44:R44</xm:f>
              <xm:sqref>B44</xm:sqref>
            </x14:sparkline>
            <x14:sparkline>
              <xm:f>Template!C45:R45</xm:f>
              <xm:sqref>B45</xm:sqref>
            </x14:sparkline>
            <x14:sparkline>
              <xm:f>Template!C46:R46</xm:f>
              <xm:sqref>B46</xm:sqref>
            </x14:sparkline>
            <x14:sparkline>
              <xm:f>Template!C47:R47</xm:f>
              <xm:sqref>B47</xm:sqref>
            </x14:sparkline>
            <x14:sparkline>
              <xm:f>Template!C48:R48</xm:f>
              <xm:sqref>B48</xm:sqref>
            </x14:sparkline>
            <x14:sparkline>
              <xm:f>Template!C49:R49</xm:f>
              <xm:sqref>B49</xm:sqref>
            </x14:sparkline>
            <x14:sparkline>
              <xm:f>Template!C50:R50</xm:f>
              <xm:sqref>B50</xm:sqref>
            </x14:sparkline>
            <x14:sparkline>
              <xm:f>Template!C51:R51</xm:f>
              <xm:sqref>B51</xm:sqref>
            </x14:sparkline>
            <x14:sparkline>
              <xm:f>Template!C52:R52</xm:f>
              <xm:sqref>B52</xm:sqref>
            </x14:sparkline>
            <x14:sparkline>
              <xm:f>Template!C53:R53</xm:f>
              <xm:sqref>B53</xm:sqref>
            </x14:sparkline>
            <x14:sparkline>
              <xm:f>Template!C54:R54</xm:f>
              <xm:sqref>B54</xm:sqref>
            </x14:sparkline>
            <x14:sparkline>
              <xm:f>Template!C55:R55</xm:f>
              <xm:sqref>B55</xm:sqref>
            </x14:sparkline>
            <x14:sparkline>
              <xm:f>Template!C56:R56</xm:f>
              <xm:sqref>B56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3"/>
  <sheetViews>
    <sheetView workbookViewId="0">
      <selection activeCell="A3" sqref="A3"/>
    </sheetView>
  </sheetViews>
  <sheetFormatPr defaultRowHeight="15" x14ac:dyDescent="0.25"/>
  <cols>
    <col min="1" max="1" width="15.85546875" customWidth="1"/>
  </cols>
  <sheetData>
    <row r="1" spans="1:2" x14ac:dyDescent="0.25">
      <c r="A1" t="s">
        <v>0</v>
      </c>
      <c r="B1" t="s">
        <v>1</v>
      </c>
    </row>
    <row r="3" spans="1:2" x14ac:dyDescent="0.25">
      <c r="A3" t="s">
        <v>2</v>
      </c>
    </row>
    <row r="4" spans="1:2" x14ac:dyDescent="0.25">
      <c r="A4" t="s">
        <v>3</v>
      </c>
    </row>
    <row r="5" spans="1:2" x14ac:dyDescent="0.25">
      <c r="A5" t="s">
        <v>4</v>
      </c>
    </row>
    <row r="6" spans="1:2" x14ac:dyDescent="0.25">
      <c r="A6" t="s">
        <v>5</v>
      </c>
    </row>
    <row r="7" spans="1:2" x14ac:dyDescent="0.25">
      <c r="A7" t="s">
        <v>6</v>
      </c>
    </row>
    <row r="8" spans="1:2" x14ac:dyDescent="0.25">
      <c r="A8" t="s">
        <v>7</v>
      </c>
    </row>
    <row r="9" spans="1:2" x14ac:dyDescent="0.25">
      <c r="A9" t="s">
        <v>8</v>
      </c>
    </row>
    <row r="10" spans="1:2" x14ac:dyDescent="0.25">
      <c r="A10" t="s">
        <v>9</v>
      </c>
    </row>
    <row r="11" spans="1:2" x14ac:dyDescent="0.25">
      <c r="A11" t="s">
        <v>10</v>
      </c>
    </row>
    <row r="12" spans="1:2" x14ac:dyDescent="0.25">
      <c r="A12" t="s">
        <v>11</v>
      </c>
    </row>
    <row r="13" spans="1:2" x14ac:dyDescent="0.25">
      <c r="A13" t="s">
        <v>12</v>
      </c>
    </row>
    <row r="14" spans="1:2" x14ac:dyDescent="0.25">
      <c r="A14" t="s">
        <v>13</v>
      </c>
    </row>
    <row r="15" spans="1:2" x14ac:dyDescent="0.25">
      <c r="A15" t="s">
        <v>14</v>
      </c>
    </row>
    <row r="16" spans="1:2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Data Table</vt:lpstr>
      <vt:lpstr>Template</vt:lpstr>
      <vt:lpstr>Profile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2018-04-30T18:29:30Z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569e9fca-15a0-47ad-9dc7-9cf2a3948e74</vt:lpwstr>
  </property>
  <property fmtid="{D5CDD505-2E9C-101B-9397-08002B2CF9AE}" pid="3" name="=fdsSearchOrder">
    <vt:i4>0</vt:i4>
  </property>
</Properties>
</file>